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roberta_dias_redesc_org_br/Documents/Área de Trabalho/Pessoal/Excel com IA e Cloude/Projeto - Simulador de Investimento/"/>
    </mc:Choice>
  </mc:AlternateContent>
  <xr:revisionPtr revIDLastSave="437" documentId="8_{13C79B2C-CF33-428E-AB49-66BCF188BD30}" xr6:coauthVersionLast="47" xr6:coauthVersionMax="47" xr10:uidLastSave="{4084CFC0-1307-4C84-AC27-769EADEFEED7}"/>
  <bookViews>
    <workbookView xWindow="-120" yWindow="-120" windowWidth="20730" windowHeight="11160" tabRatio="489" activeTab="1" xr2:uid="{B1E5BAD5-AE6E-4F08-A0E6-B84D2944FA95}"/>
  </bookViews>
  <sheets>
    <sheet name="Tabela de Apoio" sheetId="2" r:id="rId1"/>
    <sheet name="Calculadora de Investimento" sheetId="1" r:id="rId2"/>
  </sheets>
  <definedNames>
    <definedName name="aporte">'Calculadora de Investimento'!$D$20</definedName>
    <definedName name="patrimonio">'Calculadora de Investimento'!$D$23</definedName>
    <definedName name="qtd_anos">'Calculadora de Investimento'!$D$21</definedName>
    <definedName name="rendimento_de_carteira">'Calculadora de Investimento'!$D$16</definedName>
    <definedName name="salario">'Calculadora de Investimento'!$D$15</definedName>
    <definedName name="sugestao_investimento">'Calculadora de Investimento'!$D$17</definedName>
    <definedName name="taxa_mensal">'Calculadora de Investimento'!$D$22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2" i="1" l="1"/>
  <c r="C41" i="1"/>
  <c r="C40" i="1"/>
  <c r="C39" i="1"/>
  <c r="C38" i="1"/>
  <c r="C37" i="1"/>
  <c r="G2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C34" i="1"/>
  <c r="D17" i="1"/>
  <c r="D23" i="1"/>
  <c r="D24" i="1" s="1"/>
  <c r="C31" i="1"/>
  <c r="D31" i="1" s="1"/>
  <c r="C30" i="1"/>
  <c r="D30" i="1" s="1"/>
  <c r="C29" i="1"/>
  <c r="D29" i="1" s="1"/>
  <c r="C28" i="1"/>
  <c r="D28" i="1" s="1"/>
  <c r="C27" i="1"/>
  <c r="D27" i="1" s="1"/>
  <c r="D38" i="1" l="1"/>
  <c r="D42" i="1"/>
  <c r="D41" i="1"/>
  <c r="D40" i="1"/>
  <c r="D39" i="1"/>
  <c r="D37" i="1"/>
  <c r="D43" i="1" l="1"/>
</calcChain>
</file>

<file path=xl/sharedStrings.xml><?xml version="1.0" encoding="utf-8"?>
<sst xmlns="http://schemas.openxmlformats.org/spreadsheetml/2006/main" count="72" uniqueCount="34">
  <si>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</si>
  <si>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</si>
  <si>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</si>
  <si>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</si>
  <si>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</si>
  <si>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</si>
  <si>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teria em 2 anos?</t>
  </si>
  <si>
    <t>Quanto teria em 5 anos?</t>
  </si>
  <si>
    <t>Quanto teria em 10 anos?</t>
  </si>
  <si>
    <t>Quanto teria em 20 anos?</t>
  </si>
  <si>
    <t>Quanto teria em 30 anos?</t>
  </si>
  <si>
    <t>Cenários</t>
  </si>
  <si>
    <t>Dividendo</t>
  </si>
  <si>
    <t>Configurações</t>
  </si>
  <si>
    <t>Rendimento de Carteira</t>
  </si>
  <si>
    <t>Salário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</si>
  <si>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</si>
  <si>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</si>
  <si>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</si>
  <si>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</si>
  <si>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</si>
  <si>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</si>
  <si>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</si>
  <si>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</si>
  <si>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</t>
  </si>
  <si>
    <t>Desenvolvimento</t>
  </si>
  <si>
    <t>Hotelaria</t>
  </si>
  <si>
    <t>Conservador</t>
  </si>
  <si>
    <t>%</t>
  </si>
  <si>
    <t>Chave</t>
  </si>
  <si>
    <t>Moderado</t>
  </si>
  <si>
    <t>Agressivo</t>
  </si>
  <si>
    <t>Moderado-Tijolo</t>
  </si>
  <si>
    <t>Sugestão de Investimento (30% do Salário)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</si>
</sst>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theme="9" tint="0.79998168889431442"/>
      </left>
      <right style="medium">
        <color theme="6" tint="-0.499984740745262"/>
      </right>
      <top style="medium">
        <color theme="6" tint="-0.499984740745262"/>
      </top>
      <bottom style="thin">
        <color theme="9" tint="0.79998168889431442"/>
      </bottom>
      <diagonal/>
    </border>
    <border>
      <left style="thin">
        <color theme="9" tint="0.79998168889431442"/>
      </left>
      <right style="medium">
        <color theme="6" tint="-0.49998474074526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0.79998168889431442"/>
      </left>
      <right style="medium">
        <color theme="6" tint="-0.499984740745262"/>
      </right>
      <top style="thin">
        <color theme="9" tint="0.79998168889431442"/>
      </top>
      <bottom style="medium">
        <color theme="6" tint="-0.499984740745262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9" tint="0.79998168889431442"/>
      </left>
      <right style="medium">
        <color theme="9" tint="-0.499984740745262"/>
      </right>
      <top/>
      <bottom style="thin">
        <color theme="9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/>
      <bottom style="thin">
        <color theme="9" tint="0.79998168889431442"/>
      </bottom>
      <diagonal/>
    </border>
    <border>
      <left style="thin">
        <color theme="9" tint="0.7999816888943144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medium">
        <color theme="9" tint="-0.499984740745262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/>
      <diagonal/>
    </border>
    <border>
      <left style="medium">
        <color theme="6" tint="-0.499984740745262"/>
      </left>
      <right/>
      <top/>
      <bottom/>
      <diagonal/>
    </border>
    <border>
      <left style="medium">
        <color theme="6" tint="-0.499984740745262"/>
      </left>
      <right/>
      <top/>
      <bottom style="medium">
        <color theme="6" tint="-0.499984740745262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thin">
        <color theme="9" tint="0.79998168889431442"/>
      </left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thin">
        <color theme="9" tint="0.7999816888943144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 style="thin">
        <color theme="9" tint="0.79998168889431442"/>
      </right>
      <top/>
      <bottom/>
      <diagonal/>
    </border>
    <border>
      <left/>
      <right style="thin">
        <color theme="9" tint="0.79998168889431442"/>
      </right>
      <top/>
      <bottom style="medium">
        <color theme="6" tint="-0.499984740745262"/>
      </bottom>
      <diagonal/>
    </border>
    <border>
      <left/>
      <right style="thin">
        <color theme="9" tint="0.79998168889431442"/>
      </right>
      <top style="medium">
        <color theme="6" tint="-0.499984740745262"/>
      </top>
      <bottom/>
      <diagonal/>
    </border>
    <border>
      <left/>
      <right/>
      <top style="medium">
        <color theme="6" tint="-0.499984740745262"/>
      </top>
      <bottom style="medium">
        <color theme="6" tint="-0.499984740745262"/>
      </bottom>
      <diagonal/>
    </border>
    <border>
      <left style="medium">
        <color theme="9" tint="-0.499984740745262"/>
      </left>
      <right style="thin">
        <color theme="9" tint="0.7999816888943144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 style="thin">
        <color theme="9" tint="0.79998168889431442"/>
      </right>
      <top/>
      <bottom/>
      <diagonal/>
    </border>
    <border>
      <left style="medium">
        <color theme="9" tint="-0.499984740745262"/>
      </left>
      <right style="thin">
        <color theme="9" tint="0.79998168889431442"/>
      </right>
      <top/>
      <bottom style="medium">
        <color theme="9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theme="6" tint="-0.499984740745262"/>
      </right>
      <top/>
      <bottom/>
      <diagonal/>
    </border>
    <border>
      <left/>
      <right/>
      <top/>
      <bottom style="medium">
        <color theme="6" tint="-0.499984740745262"/>
      </bottom>
      <diagonal/>
    </border>
    <border>
      <left/>
      <right style="medium">
        <color theme="6" tint="-0.499984740745262"/>
      </right>
      <top/>
      <bottom style="medium">
        <color theme="6" tint="-0.499984740745262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8" fontId="0" fillId="3" borderId="6" xfId="0" applyNumberFormat="1" applyFill="1" applyBorder="1" applyAlignment="1">
      <alignment horizontal="center"/>
    </xf>
    <xf numFmtId="8" fontId="0" fillId="3" borderId="5" xfId="0" applyNumberFormat="1" applyFill="1" applyBorder="1" applyAlignment="1">
      <alignment horizontal="center"/>
    </xf>
    <xf numFmtId="8" fontId="0" fillId="3" borderId="4" xfId="0" applyNumberFormat="1" applyFill="1" applyBorder="1" applyAlignment="1">
      <alignment horizontal="center"/>
    </xf>
    <xf numFmtId="8" fontId="0" fillId="3" borderId="8" xfId="0" applyNumberFormat="1" applyFill="1" applyBorder="1" applyAlignment="1">
      <alignment horizontal="center"/>
    </xf>
    <xf numFmtId="8" fontId="0" fillId="3" borderId="14" xfId="0" applyNumberFormat="1" applyFill="1" applyBorder="1" applyAlignment="1">
      <alignment horizontal="center"/>
    </xf>
    <xf numFmtId="8" fontId="1" fillId="3" borderId="2" xfId="0" applyNumberFormat="1" applyFont="1" applyFill="1" applyBorder="1" applyAlignment="1">
      <alignment horizontal="center"/>
    </xf>
    <xf numFmtId="8" fontId="1" fillId="3" borderId="3" xfId="0" applyNumberFormat="1" applyFont="1" applyFill="1" applyBorder="1" applyAlignment="1">
      <alignment horizontal="center"/>
    </xf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0" xfId="0" applyFill="1"/>
    <xf numFmtId="9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0" fillId="0" borderId="24" xfId="0" applyBorder="1"/>
    <xf numFmtId="9" fontId="0" fillId="0" borderId="24" xfId="0" applyNumberFormat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3" borderId="25" xfId="0" applyNumberFormat="1" applyFill="1" applyBorder="1" applyAlignment="1">
      <alignment horizontal="center"/>
    </xf>
    <xf numFmtId="164" fontId="1" fillId="3" borderId="27" xfId="0" applyNumberFormat="1" applyFont="1" applyFill="1" applyBorder="1" applyAlignment="1">
      <alignment horizontal="center"/>
    </xf>
    <xf numFmtId="0" fontId="4" fillId="2" borderId="12" xfId="0" applyFont="1" applyFill="1" applyBorder="1"/>
    <xf numFmtId="0" fontId="4" fillId="2" borderId="20" xfId="0" applyFont="1" applyFill="1" applyBorder="1"/>
    <xf numFmtId="0" fontId="4" fillId="2" borderId="13" xfId="0" applyFont="1" applyFill="1" applyBorder="1" applyAlignment="1">
      <alignment horizontal="center"/>
    </xf>
    <xf numFmtId="0" fontId="0" fillId="3" borderId="10" xfId="0" applyFill="1" applyBorder="1"/>
    <xf numFmtId="9" fontId="0" fillId="3" borderId="0" xfId="1" applyFont="1" applyFill="1" applyBorder="1" applyAlignment="1">
      <alignment horizontal="center"/>
    </xf>
    <xf numFmtId="0" fontId="0" fillId="3" borderId="11" xfId="0" applyFill="1" applyBorder="1"/>
    <xf numFmtId="9" fontId="0" fillId="3" borderId="26" xfId="0" applyNumberForma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7" xfId="0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3" borderId="17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'Calculadora de Investimento'!$C$36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4D-476B-8A98-D68EA734AEE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4D-476B-8A98-D68EA734AEE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4D-476B-8A98-D68EA734AEE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B4D-476B-8A98-D68EA734AEE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B4D-476B-8A98-D68EA734AEE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B4D-476B-8A98-D68EA734AE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'Calculadora de Investimento'!$B$37:$B$42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'Calculadora de Investimento'!$C$37:$C$42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D-4331-BCD1-1A7ACFDCC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19050" cap="flat" cmpd="sng" algn="ctr">
      <a:solidFill>
        <a:srgbClr val="0033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142876</xdr:rowOff>
    </xdr:from>
    <xdr:to>
      <xdr:col>4</xdr:col>
      <xdr:colOff>19050</xdr:colOff>
      <xdr:row>12</xdr:row>
      <xdr:rowOff>95250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243E20E-9210-79FB-5178-CEDD4D3ADA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5242"/>
        <a:stretch>
          <a:fillRect/>
        </a:stretch>
      </xdr:blipFill>
      <xdr:spPr>
        <a:xfrm>
          <a:off x="428625" y="142876"/>
          <a:ext cx="5295900" cy="223837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44</xdr:row>
      <xdr:rowOff>19050</xdr:rowOff>
    </xdr:from>
    <xdr:to>
      <xdr:col>4</xdr:col>
      <xdr:colOff>0</xdr:colOff>
      <xdr:row>57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B7443E-732B-D8A3-AA16-A77A4E211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1E1F-6E37-4104-AC2C-2C91853166A8}">
  <dimension ref="A1:G19"/>
  <sheetViews>
    <sheetView workbookViewId="0">
      <selection activeCell="A33" sqref="A33"/>
    </sheetView>
  </sheetViews>
  <sheetFormatPr defaultRowHeight="15" x14ac:dyDescent="0.25"/>
  <cols>
    <col min="1" max="1" width="28.42578125" bestFit="1" customWidth="1"/>
    <col min="2" max="2" width="16.140625" customWidth="1"/>
    <col min="3" max="3" width="16.140625" bestFit="1" customWidth="1"/>
    <col min="6" max="6" width="15.85546875" bestFit="1" customWidth="1"/>
    <col min="7" max="7" width="9.140625" style="1"/>
  </cols>
  <sheetData>
    <row r="1" spans="1:7" x14ac:dyDescent="0.25">
      <c r="A1" s="2" t="s">
        <v>29</v>
      </c>
      <c r="B1" s="2" t="s">
        <v>16</v>
      </c>
      <c r="C1" s="2" t="s">
        <v>18</v>
      </c>
      <c r="D1" s="3" t="s">
        <v>28</v>
      </c>
      <c r="F1" t="s">
        <v>16</v>
      </c>
      <c r="G1" s="1" t="s">
        <v>28</v>
      </c>
    </row>
    <row r="2" spans="1:7" x14ac:dyDescent="0.25">
      <c r="A2" t="str">
        <f>B2&amp;"-"&amp;C2</f>
        <v>Conservador-Papel</v>
      </c>
      <c r="B2" t="s">
        <v>27</v>
      </c>
      <c r="C2" t="s">
        <v>21</v>
      </c>
      <c r="D2" s="20">
        <v>0.3</v>
      </c>
      <c r="F2" t="s">
        <v>32</v>
      </c>
      <c r="G2" s="20">
        <f>VLOOKUP(F2,$A$1:$D$19,4,FALSE)</f>
        <v>0.35</v>
      </c>
    </row>
    <row r="3" spans="1:7" x14ac:dyDescent="0.25">
      <c r="A3" t="str">
        <f t="shared" ref="A3:A19" si="0">B3&amp;"-"&amp;C3</f>
        <v>Conservador-Tijolo</v>
      </c>
      <c r="B3" t="s">
        <v>27</v>
      </c>
      <c r="C3" t="s">
        <v>22</v>
      </c>
      <c r="D3" s="20">
        <v>0.5</v>
      </c>
    </row>
    <row r="4" spans="1:7" x14ac:dyDescent="0.25">
      <c r="A4" t="str">
        <f t="shared" si="0"/>
        <v>Conservador-Hibridos</v>
      </c>
      <c r="B4" t="s">
        <v>27</v>
      </c>
      <c r="C4" t="s">
        <v>23</v>
      </c>
      <c r="D4" s="20">
        <v>0.1</v>
      </c>
    </row>
    <row r="5" spans="1:7" x14ac:dyDescent="0.25">
      <c r="A5" t="str">
        <f t="shared" si="0"/>
        <v>Conservador-FOF</v>
      </c>
      <c r="B5" t="s">
        <v>27</v>
      </c>
      <c r="C5" t="s">
        <v>24</v>
      </c>
      <c r="D5" s="20">
        <v>0.1</v>
      </c>
    </row>
    <row r="6" spans="1:7" x14ac:dyDescent="0.25">
      <c r="A6" t="str">
        <f t="shared" si="0"/>
        <v>Conservador-Desenvolvimento</v>
      </c>
      <c r="B6" t="s">
        <v>27</v>
      </c>
      <c r="C6" t="s">
        <v>25</v>
      </c>
      <c r="D6" s="20">
        <v>0</v>
      </c>
    </row>
    <row r="7" spans="1:7" x14ac:dyDescent="0.25">
      <c r="A7" s="23" t="str">
        <f t="shared" si="0"/>
        <v>Conservador-Hotelaria</v>
      </c>
      <c r="B7" s="23" t="s">
        <v>27</v>
      </c>
      <c r="C7" s="23" t="s">
        <v>26</v>
      </c>
      <c r="D7" s="24">
        <v>0</v>
      </c>
    </row>
    <row r="8" spans="1:7" x14ac:dyDescent="0.25">
      <c r="A8" t="str">
        <f t="shared" si="0"/>
        <v>Moderado-Papel</v>
      </c>
      <c r="B8" t="s">
        <v>30</v>
      </c>
      <c r="C8" t="s">
        <v>21</v>
      </c>
      <c r="D8" s="20">
        <v>0.32</v>
      </c>
    </row>
    <row r="9" spans="1:7" x14ac:dyDescent="0.25">
      <c r="A9" t="str">
        <f t="shared" si="0"/>
        <v>Moderado-Tijolo</v>
      </c>
      <c r="B9" t="s">
        <v>30</v>
      </c>
      <c r="C9" t="s">
        <v>22</v>
      </c>
      <c r="D9" s="20">
        <v>0.35</v>
      </c>
    </row>
    <row r="10" spans="1:7" x14ac:dyDescent="0.25">
      <c r="A10" t="str">
        <f t="shared" si="0"/>
        <v>Moderado-Hibridos</v>
      </c>
      <c r="B10" t="s">
        <v>30</v>
      </c>
      <c r="C10" t="s">
        <v>23</v>
      </c>
      <c r="D10" s="20">
        <v>0.08</v>
      </c>
    </row>
    <row r="11" spans="1:7" x14ac:dyDescent="0.25">
      <c r="A11" t="str">
        <f t="shared" si="0"/>
        <v>Moderado-FOF</v>
      </c>
      <c r="B11" t="s">
        <v>30</v>
      </c>
      <c r="C11" t="s">
        <v>24</v>
      </c>
      <c r="D11" s="20">
        <v>0.05</v>
      </c>
    </row>
    <row r="12" spans="1:7" x14ac:dyDescent="0.25">
      <c r="A12" t="str">
        <f t="shared" si="0"/>
        <v>Moderado-Desenvolvimento</v>
      </c>
      <c r="B12" t="s">
        <v>30</v>
      </c>
      <c r="C12" t="s">
        <v>25</v>
      </c>
      <c r="D12" s="20">
        <v>0.1</v>
      </c>
    </row>
    <row r="13" spans="1:7" x14ac:dyDescent="0.25">
      <c r="A13" s="23" t="str">
        <f t="shared" si="0"/>
        <v>Moderado-Hotelaria</v>
      </c>
      <c r="B13" s="23" t="s">
        <v>30</v>
      </c>
      <c r="C13" s="23" t="s">
        <v>26</v>
      </c>
      <c r="D13" s="24">
        <v>0.1</v>
      </c>
    </row>
    <row r="14" spans="1:7" x14ac:dyDescent="0.25">
      <c r="A14" t="str">
        <f t="shared" si="0"/>
        <v>Agressivo-Papel</v>
      </c>
      <c r="B14" t="s">
        <v>31</v>
      </c>
      <c r="C14" t="s">
        <v>21</v>
      </c>
      <c r="D14" s="20">
        <v>0.5</v>
      </c>
    </row>
    <row r="15" spans="1:7" x14ac:dyDescent="0.25">
      <c r="A15" t="str">
        <f t="shared" si="0"/>
        <v>Agressivo-Tijolo</v>
      </c>
      <c r="B15" t="s">
        <v>31</v>
      </c>
      <c r="C15" t="s">
        <v>22</v>
      </c>
      <c r="D15" s="20">
        <v>0.1</v>
      </c>
    </row>
    <row r="16" spans="1:7" x14ac:dyDescent="0.25">
      <c r="A16" t="str">
        <f t="shared" si="0"/>
        <v>Agressivo-Hibridos</v>
      </c>
      <c r="B16" t="s">
        <v>31</v>
      </c>
      <c r="C16" t="s">
        <v>23</v>
      </c>
      <c r="D16" s="20">
        <v>0.05</v>
      </c>
    </row>
    <row r="17" spans="1:4" x14ac:dyDescent="0.25">
      <c r="A17" t="str">
        <f t="shared" si="0"/>
        <v>Agressivo-FOF</v>
      </c>
      <c r="B17" t="s">
        <v>31</v>
      </c>
      <c r="C17" t="s">
        <v>24</v>
      </c>
      <c r="D17" s="20">
        <v>0.05</v>
      </c>
    </row>
    <row r="18" spans="1:4" x14ac:dyDescent="0.25">
      <c r="A18" t="str">
        <f t="shared" si="0"/>
        <v>Agressivo-Desenvolvimento</v>
      </c>
      <c r="B18" t="s">
        <v>31</v>
      </c>
      <c r="C18" t="s">
        <v>25</v>
      </c>
      <c r="D18" s="20">
        <v>0.2</v>
      </c>
    </row>
    <row r="19" spans="1:4" x14ac:dyDescent="0.25">
      <c r="A19" t="str">
        <f t="shared" si="0"/>
        <v>Agressivo-Hotelaria</v>
      </c>
      <c r="B19" t="s">
        <v>31</v>
      </c>
      <c r="C19" t="s">
        <v>26</v>
      </c>
      <c r="D19" s="20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9BC4-A0DC-4D83-8565-E85D7C56F7D3}">
  <dimension ref="A13:F43"/>
  <sheetViews>
    <sheetView showGridLines="0" tabSelected="1" zoomScaleNormal="100" workbookViewId="0">
      <selection activeCell="D15" sqref="D15"/>
    </sheetView>
  </sheetViews>
  <sheetFormatPr defaultColWidth="0" defaultRowHeight="15" x14ac:dyDescent="0.25"/>
  <cols>
    <col min="1" max="1" width="5.7109375" customWidth="1"/>
    <col min="2" max="2" width="30.7109375" customWidth="1"/>
    <col min="3" max="3" width="28.42578125" bestFit="1" customWidth="1"/>
    <col min="4" max="4" width="20.7109375" customWidth="1"/>
    <col min="5" max="5" width="5.7109375" customWidth="1"/>
    <col min="6" max="6" width="10.85546875" hidden="1" customWidth="1"/>
    <col min="7" max="16384" width="9.140625" hidden="1"/>
  </cols>
  <sheetData>
    <row r="13" spans="2:4" ht="15.75" thickBot="1" x14ac:dyDescent="0.3"/>
    <row r="14" spans="2:4" ht="15.75" thickBot="1" x14ac:dyDescent="0.3">
      <c r="B14" s="49" t="s">
        <v>13</v>
      </c>
      <c r="C14" s="50"/>
      <c r="D14" s="51"/>
    </row>
    <row r="15" spans="2:4" x14ac:dyDescent="0.25">
      <c r="B15" s="37" t="s">
        <v>15</v>
      </c>
      <c r="C15" s="38"/>
      <c r="D15" s="6">
        <v>2000</v>
      </c>
    </row>
    <row r="16" spans="2:4" x14ac:dyDescent="0.25">
      <c r="B16" s="37" t="s">
        <v>14</v>
      </c>
      <c r="C16" s="38"/>
      <c r="D16" s="7">
        <v>6.0000000000000001E-3</v>
      </c>
    </row>
    <row r="17" spans="1:4" ht="15.75" thickBot="1" x14ac:dyDescent="0.3">
      <c r="B17" s="39" t="s">
        <v>33</v>
      </c>
      <c r="C17" s="40"/>
      <c r="D17" s="8">
        <f>salario*30%</f>
        <v>600</v>
      </c>
    </row>
    <row r="18" spans="1:4" ht="15.75" thickBot="1" x14ac:dyDescent="0.3"/>
    <row r="19" spans="1:4" ht="15.75" thickBot="1" x14ac:dyDescent="0.3">
      <c r="B19" s="49" t="s">
        <v>0</v>
      </c>
      <c r="C19" s="50"/>
      <c r="D19" s="51"/>
    </row>
    <row r="20" spans="1:4" x14ac:dyDescent="0.25">
      <c r="B20" s="41" t="s">
        <v>1</v>
      </c>
      <c r="C20" s="42"/>
      <c r="D20" s="6">
        <v>200</v>
      </c>
    </row>
    <row r="21" spans="1:4" x14ac:dyDescent="0.25">
      <c r="B21" s="43" t="s">
        <v>2</v>
      </c>
      <c r="C21" s="44"/>
      <c r="D21" s="4">
        <v>5</v>
      </c>
    </row>
    <row r="22" spans="1:4" x14ac:dyDescent="0.25">
      <c r="B22" s="43" t="s">
        <v>3</v>
      </c>
      <c r="C22" s="44"/>
      <c r="D22" s="7">
        <v>1.0789999999999999E-2</v>
      </c>
    </row>
    <row r="23" spans="1:4" x14ac:dyDescent="0.25">
      <c r="B23" s="45" t="s">
        <v>4</v>
      </c>
      <c r="C23" s="46"/>
      <c r="D23" s="14">
        <f>FV(taxa_mensal,qtd_anos*12,aporte*-1)</f>
        <v>16755.382799697527</v>
      </c>
    </row>
    <row r="24" spans="1:4" ht="15.75" thickBot="1" x14ac:dyDescent="0.3">
      <c r="B24" s="47" t="s">
        <v>5</v>
      </c>
      <c r="C24" s="48"/>
      <c r="D24" s="15">
        <f>patrimonio*rendimento_de_carteira</f>
        <v>100.53229679818516</v>
      </c>
    </row>
    <row r="25" spans="1:4" ht="15.75" thickBot="1" x14ac:dyDescent="0.3"/>
    <row r="26" spans="1:4" ht="15.75" thickBot="1" x14ac:dyDescent="0.3">
      <c r="B26" s="35" t="s">
        <v>11</v>
      </c>
      <c r="C26" s="36"/>
      <c r="D26" s="22" t="s">
        <v>12</v>
      </c>
    </row>
    <row r="27" spans="1:4" x14ac:dyDescent="0.25">
      <c r="A27" s="5">
        <v>2</v>
      </c>
      <c r="B27" s="16" t="s">
        <v>6</v>
      </c>
      <c r="C27" s="9">
        <f>FV($D$22,$A27*12,$D$20*-1)</f>
        <v>5445.5254595290435</v>
      </c>
      <c r="D27" s="10">
        <f>C27*rendimento_de_carteira</f>
        <v>32.673152757174265</v>
      </c>
    </row>
    <row r="28" spans="1:4" x14ac:dyDescent="0.25">
      <c r="A28" s="5">
        <v>5</v>
      </c>
      <c r="B28" s="17" t="s">
        <v>7</v>
      </c>
      <c r="C28" s="11">
        <f>FV($D$22,$A28*12,$D$20*-1)</f>
        <v>16755.382799697527</v>
      </c>
      <c r="D28" s="10">
        <f>C28*rendimento_de_carteira</f>
        <v>100.53229679818516</v>
      </c>
    </row>
    <row r="29" spans="1:4" x14ac:dyDescent="0.25">
      <c r="A29" s="5">
        <v>10</v>
      </c>
      <c r="B29" s="17" t="s">
        <v>8</v>
      </c>
      <c r="C29" s="11">
        <f>FV($D$22,$A29*12,$D$20*-1)</f>
        <v>48656.842506034438</v>
      </c>
      <c r="D29" s="10">
        <f>C29*rendimento_de_carteira</f>
        <v>291.94105503620665</v>
      </c>
    </row>
    <row r="30" spans="1:4" x14ac:dyDescent="0.25">
      <c r="A30" s="5">
        <v>20</v>
      </c>
      <c r="B30" s="17" t="s">
        <v>9</v>
      </c>
      <c r="C30" s="11">
        <f>FV($D$22,$A30*12,$D$20*-1)</f>
        <v>225039.68001941612</v>
      </c>
      <c r="D30" s="10">
        <f>C30*rendimento_de_carteira</f>
        <v>1350.2380801164968</v>
      </c>
    </row>
    <row r="31" spans="1:4" ht="15.75" thickBot="1" x14ac:dyDescent="0.3">
      <c r="A31" s="5">
        <v>30</v>
      </c>
      <c r="B31" s="18" t="s">
        <v>10</v>
      </c>
      <c r="C31" s="12">
        <f>FV($D$22,$A31*12,$D$20*-1)</f>
        <v>864433.93100094295</v>
      </c>
      <c r="D31" s="13">
        <f>C31*rendimento_de_carteira</f>
        <v>5186.6035860056581</v>
      </c>
    </row>
    <row r="33" spans="2:4" x14ac:dyDescent="0.25">
      <c r="B33" s="19" t="s">
        <v>16</v>
      </c>
      <c r="C33" s="21" t="s">
        <v>30</v>
      </c>
    </row>
    <row r="34" spans="2:4" x14ac:dyDescent="0.25">
      <c r="B34" s="19" t="s">
        <v>17</v>
      </c>
      <c r="C34" s="25">
        <f>aporte</f>
        <v>200</v>
      </c>
    </row>
    <row r="35" spans="2:4" ht="15.75" thickBot="1" x14ac:dyDescent="0.3"/>
    <row r="36" spans="2:4" ht="15.75" thickBot="1" x14ac:dyDescent="0.3">
      <c r="B36" s="28" t="s">
        <v>18</v>
      </c>
      <c r="C36" s="29" t="s">
        <v>19</v>
      </c>
      <c r="D36" s="30" t="s">
        <v>20</v>
      </c>
    </row>
    <row r="37" spans="2:4" x14ac:dyDescent="0.25">
      <c r="B37" s="31" t="s">
        <v>21</v>
      </c>
      <c r="C37" s="32">
        <f>VLOOKUP($C$33&amp;"-"&amp;B37,'Tabela de Apoio'!$A:$D,4,FALSE)</f>
        <v>0.32</v>
      </c>
      <c r="D37" s="26">
        <f>$C$34*C37</f>
        <v>64</v>
      </c>
    </row>
    <row r="38" spans="2:4" x14ac:dyDescent="0.25">
      <c r="B38" s="31" t="s">
        <v>22</v>
      </c>
      <c r="C38" s="32">
        <f>VLOOKUP($C$33&amp;"-"&amp;B38,'Tabela de Apoio'!$A:$D,4,FALSE)</f>
        <v>0.35</v>
      </c>
      <c r="D38" s="26">
        <f t="shared" ref="D38:D42" si="0">$C$34*C38</f>
        <v>70</v>
      </c>
    </row>
    <row r="39" spans="2:4" x14ac:dyDescent="0.25">
      <c r="B39" s="31" t="s">
        <v>23</v>
      </c>
      <c r="C39" s="32">
        <f>VLOOKUP($C$33&amp;"-"&amp;B39,'Tabela de Apoio'!$A:$D,4,FALSE)</f>
        <v>0.08</v>
      </c>
      <c r="D39" s="26">
        <f t="shared" si="0"/>
        <v>16</v>
      </c>
    </row>
    <row r="40" spans="2:4" x14ac:dyDescent="0.25">
      <c r="B40" s="31" t="s">
        <v>24</v>
      </c>
      <c r="C40" s="32">
        <f>VLOOKUP($C$33&amp;"-"&amp;B40,'Tabela de Apoio'!$A:$D,4,FALSE)</f>
        <v>0.05</v>
      </c>
      <c r="D40" s="26">
        <f t="shared" si="0"/>
        <v>10</v>
      </c>
    </row>
    <row r="41" spans="2:4" x14ac:dyDescent="0.25">
      <c r="B41" s="31" t="s">
        <v>25</v>
      </c>
      <c r="C41" s="32">
        <f>VLOOKUP($C$33&amp;"-"&amp;B41,'Tabela de Apoio'!$A:$D,4,FALSE)</f>
        <v>0.1</v>
      </c>
      <c r="D41" s="26">
        <f t="shared" si="0"/>
        <v>20</v>
      </c>
    </row>
    <row r="42" spans="2:4" x14ac:dyDescent="0.25">
      <c r="B42" s="31" t="s">
        <v>26</v>
      </c>
      <c r="C42" s="32">
        <f>VLOOKUP($C$33&amp;"-"&amp;B42,'Tabela de Apoio'!$A:$D,4,FALSE)</f>
        <v>0.1</v>
      </c>
      <c r="D42" s="26">
        <f t="shared" si="0"/>
        <v>20</v>
      </c>
    </row>
    <row r="43" spans="2:4" ht="15.75" thickBot="1" x14ac:dyDescent="0.3">
      <c r="B43" s="33"/>
      <c r="C43" s="34"/>
      <c r="D43" s="27">
        <f>SUM(D37:D42)</f>
        <v>200</v>
      </c>
    </row>
  </sheetData>
  <mergeCells count="11">
    <mergeCell ref="B14:D14"/>
    <mergeCell ref="B19:D19"/>
    <mergeCell ref="B16:C16"/>
    <mergeCell ref="B26:C26"/>
    <mergeCell ref="B15:C15"/>
    <mergeCell ref="B17:C17"/>
    <mergeCell ref="B20:C20"/>
    <mergeCell ref="B21:C21"/>
    <mergeCell ref="B22:C22"/>
    <mergeCell ref="B23:C23"/>
    <mergeCell ref="B24:C24"/>
  </mergeCells>
  <dataValidations count="1">
    <dataValidation type="list" allowBlank="1" showInputMessage="1" showErrorMessage="1" sqref="C33" xr:uid="{E0505480-FFE1-4A50-8A0B-3CD5F146B04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Tabela de Apoio</vt:lpstr>
      <vt:lpstr>Calculadora de Investimento</vt:lpstr>
      <vt:lpstr>aporte</vt:lpstr>
      <vt:lpstr>patrimonio</vt:lpstr>
      <vt:lpstr>qtd_anos</vt:lpstr>
      <vt:lpstr>rendimento_de_carteira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de Oliveira Simao Dias</dc:creator>
  <cp:lastModifiedBy>Roberta de Oliveira Simao Dias</cp:lastModifiedBy>
  <dcterms:created xsi:type="dcterms:W3CDTF">2026-09-19T17:31:26Z</dcterms:created>
  <dcterms:modified xsi:type="dcterms:W3CDTF">2026-09-19T22:23:26Z</dcterms:modified>
</cp:coreProperties>
</file>